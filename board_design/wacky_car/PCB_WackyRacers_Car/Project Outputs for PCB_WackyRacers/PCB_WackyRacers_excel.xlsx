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461\cade_git\wacky-racers-g-26-2026\board_design\wacky_car\PCB_WackyRacers_Car\Project Outputs for PCB_WackyRacers\"/>
    </mc:Choice>
  </mc:AlternateContent>
  <xr:revisionPtr revIDLastSave="0" documentId="13_ncr:1_{2DA71D4F-FD70-4724-85BC-2D1B05321AFA}" xr6:coauthVersionLast="47" xr6:coauthVersionMax="47" xr10:uidLastSave="{00000000-0000-0000-0000-000000000000}"/>
  <bookViews>
    <workbookView xWindow="-105" yWindow="510" windowWidth="26010" windowHeight="21195" xr2:uid="{C1E483BC-68BC-4F3D-945D-551921D61BCC}"/>
  </bookViews>
  <sheets>
    <sheet name="PCB_WackyRacers_excel" sheetId="1" r:id="rId1"/>
  </sheets>
  <definedNames>
    <definedName name="_xlnm.Print_Titles" localSheetId="0">PCB_WackyRacers_excel!$1:$1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</calcChain>
</file>

<file path=xl/sharedStrings.xml><?xml version="1.0" encoding="utf-8"?>
<sst xmlns="http://schemas.openxmlformats.org/spreadsheetml/2006/main" count="219" uniqueCount="187">
  <si>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</si>
  <si>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</si>
  <si>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</si>
  <si>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</si>
  <si>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</si>
  <si>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</si>
  <si>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</si>
  <si>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</si>
  <si>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</si>
  <si>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</si>
  <si>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/>
  </si>
  <si>
    <t>4.7uF</t>
  </si>
  <si>
    <t>CAP CER 4.7uF X5R +-20%  10V 0603</t>
  </si>
  <si>
    <t>C1, C16, C19, C21</t>
  </si>
  <si>
    <t>10uF</t>
  </si>
  <si>
    <t>CAP CER 10UF X5R +-20% 6V3 0603</t>
  </si>
  <si>
    <t>C2, C24, C29</t>
  </si>
  <si>
    <t>27pF</t>
  </si>
  <si>
    <t>CAP CER 27pF NPO/COG +-5% 50V 0603</t>
  </si>
  <si>
    <t>C3, C4</t>
  </si>
  <si>
    <t>100nF</t>
  </si>
  <si>
    <t>CAP CER 100nF X7R +-10% 50V 0603</t>
  </si>
  <si>
    <t>100uF/16V</t>
  </si>
  <si>
    <t>CAP ALUM 100uF 16V SMD</t>
  </si>
  <si>
    <t>C10</t>
  </si>
  <si>
    <t>Farnell</t>
  </si>
  <si>
    <t>1870677</t>
  </si>
  <si>
    <t>1uF</t>
  </si>
  <si>
    <t>CAP CER 1uF Y5V -20% +80% 16V 0603</t>
  </si>
  <si>
    <t>C18, C20, C22, C23</t>
  </si>
  <si>
    <t>22uF</t>
  </si>
  <si>
    <t>CAP CER 22uF Y5V -20% +80% 10V 1206</t>
  </si>
  <si>
    <t>C26, C27, C28</t>
  </si>
  <si>
    <t>10nF</t>
  </si>
  <si>
    <t>CAP CER 10nF X7R +-10% 50V 0603</t>
  </si>
  <si>
    <t>C30</t>
  </si>
  <si>
    <t>2.2uF</t>
  </si>
  <si>
    <t>CAP CER 2.2uF X5R +-20% 10V 0603</t>
  </si>
  <si>
    <t>C31</t>
  </si>
  <si>
    <t>DIODE ZENER 5.6V</t>
  </si>
  <si>
    <t>DIODE ZENER 5.6V 5W DO214AA</t>
  </si>
  <si>
    <t>D1</t>
  </si>
  <si>
    <t>MCC</t>
  </si>
  <si>
    <t>SMBJ5339B-TP</t>
  </si>
  <si>
    <t>Volume Production</t>
  </si>
  <si>
    <t>DigiKey</t>
  </si>
  <si>
    <t>SMBJ5339B-TPMSCT-ND</t>
  </si>
  <si>
    <t>MBRS330T3G 30V 4A</t>
  </si>
  <si>
    <t>SCHOTTKY  30V 4A</t>
  </si>
  <si>
    <t>D2</t>
  </si>
  <si>
    <t>onsemi</t>
  </si>
  <si>
    <t>MBRS330T3G</t>
  </si>
  <si>
    <t>MBRS330T3GOSCT-ND</t>
  </si>
  <si>
    <t>DL_LED3mm</t>
  </si>
  <si>
    <t>LED 3mm Dia Thru Hole</t>
  </si>
  <si>
    <t>DL1</t>
  </si>
  <si>
    <t>Optek</t>
  </si>
  <si>
    <t>OVLBR4C7</t>
  </si>
  <si>
    <t>1497967</t>
  </si>
  <si>
    <t>Green</t>
  </si>
  <si>
    <t>LED Green 430mcd 0603 SMD</t>
  </si>
  <si>
    <t>DL2</t>
  </si>
  <si>
    <t>Wurth Elektronik</t>
  </si>
  <si>
    <t>150060GS75000</t>
  </si>
  <si>
    <t>Unknown</t>
  </si>
  <si>
    <t>2322070</t>
  </si>
  <si>
    <t>5A</t>
  </si>
  <si>
    <t>Fuse 5.0A Fast Acting 1206 SMD</t>
  </si>
  <si>
    <t>F1</t>
  </si>
  <si>
    <t>Digi-Key</t>
  </si>
  <si>
    <t>507-1886-1-ND</t>
  </si>
  <si>
    <t>2 Pin Molex KK HDR</t>
  </si>
  <si>
    <t>CONN HEADER 2POS 2.54mm VERT_Thru Hole</t>
  </si>
  <si>
    <t>H1, H3, H4, H5, H9</t>
  </si>
  <si>
    <t>Molex</t>
  </si>
  <si>
    <t>22-23-2021</t>
  </si>
  <si>
    <t>1462926</t>
  </si>
  <si>
    <t>JS_USB_MICRO_B</t>
  </si>
  <si>
    <t>CONN USB MICRO B RECPT SMT R/A</t>
  </si>
  <si>
    <t>H2</t>
  </si>
  <si>
    <t>Amphenol Communications Solutions</t>
  </si>
  <si>
    <t>10118194-0001LF</t>
  </si>
  <si>
    <t>609-4618-1-ND</t>
  </si>
  <si>
    <t>Battery_HEADER_3pin</t>
  </si>
  <si>
    <t>3Pin Header 2.54mm spacing_x000D_
Digikey #WM22663-ND</t>
  </si>
  <si>
    <t>H6</t>
  </si>
  <si>
    <t>171974-0003</t>
  </si>
  <si>
    <t>WM22663-ND</t>
  </si>
  <si>
    <t>Header 5X2 Vert</t>
  </si>
  <si>
    <t>IDC Header, 2,54mm, 10-Pin, Vert</t>
  </si>
  <si>
    <t>H7</t>
  </si>
  <si>
    <t>HARTING Elektronik</t>
  </si>
  <si>
    <t>09185107324</t>
  </si>
  <si>
    <t>1096985</t>
  </si>
  <si>
    <t>3 Pin Molex KK Hdr</t>
  </si>
  <si>
    <t>CONN HEADER 3POS 2.54mm VERT_Thru Hole</t>
  </si>
  <si>
    <t>H8</t>
  </si>
  <si>
    <t>22-27-2031</t>
  </si>
  <si>
    <t>9731156</t>
  </si>
  <si>
    <t>1A max, Idc 0.3R,</t>
  </si>
  <si>
    <t>L1, L2</t>
  </si>
  <si>
    <t>Fair-Rite</t>
  </si>
  <si>
    <t>2512066017Y1</t>
  </si>
  <si>
    <t>1612060</t>
  </si>
  <si>
    <t>IND 5.2UH 6A</t>
  </si>
  <si>
    <t>FIXED IND 5.2UH 6A 22 MOHM SMD</t>
  </si>
  <si>
    <t>L3</t>
  </si>
  <si>
    <t>Sumida</t>
  </si>
  <si>
    <t>CDRH104RNP-5R2NC</t>
  </si>
  <si>
    <t>308-2280-1-ND</t>
  </si>
  <si>
    <t>JA_PIN_Header 2</t>
  </si>
  <si>
    <t>Header, 2-Pin</t>
  </si>
  <si>
    <t>P1, P2</t>
  </si>
  <si>
    <t>Servo</t>
  </si>
  <si>
    <t>Header, 3-Pin</t>
  </si>
  <si>
    <t>P3</t>
  </si>
  <si>
    <t>SSM3J328R,LF</t>
  </si>
  <si>
    <t>MOSFET P-CH 20V 6A SOT23-3</t>
  </si>
  <si>
    <t>Q1</t>
  </si>
  <si>
    <t>Toshiba</t>
  </si>
  <si>
    <t>SSM3J328RLFDKR-ND</t>
  </si>
  <si>
    <t>27R</t>
  </si>
  <si>
    <t>RES 27 OHM 1/10W 5% 0603 SMD</t>
  </si>
  <si>
    <t>R1, R2</t>
  </si>
  <si>
    <t>27K</t>
  </si>
  <si>
    <t>RES 27K OHM 1/10W 5% 0603 SMD</t>
  </si>
  <si>
    <t>R3</t>
  </si>
  <si>
    <t>300K</t>
  </si>
  <si>
    <t>RES 300K OHM 1/10W 5% 0603 SMD</t>
  </si>
  <si>
    <t>R4</t>
  </si>
  <si>
    <t>47K</t>
  </si>
  <si>
    <t>RES 47.0K OHM 1/10W 5% 0603 SMD</t>
  </si>
  <si>
    <t>R5, R6</t>
  </si>
  <si>
    <t>220K</t>
  </si>
  <si>
    <t>RES 3.3K OHM 1/10W 5% 0603 SMD</t>
  </si>
  <si>
    <t>R7</t>
  </si>
  <si>
    <t>1R</t>
  </si>
  <si>
    <t>RES 1R OHM 1/4W 5% 1206 SMD</t>
  </si>
  <si>
    <t>R8</t>
  </si>
  <si>
    <t>3K</t>
  </si>
  <si>
    <t>RES 3K OHM 1/10W 5% 0603 SMD</t>
  </si>
  <si>
    <t>R9</t>
  </si>
  <si>
    <t>2K</t>
  </si>
  <si>
    <t>RES 2K OHM 1/10W 5% 0603 SMD</t>
  </si>
  <si>
    <t>R10</t>
  </si>
  <si>
    <t>0R</t>
  </si>
  <si>
    <t>RES 0.0 OHM 1/10W 5% 0603 SMD</t>
  </si>
  <si>
    <t>R11</t>
  </si>
  <si>
    <t>100K</t>
  </si>
  <si>
    <t>RES 100K OHM 1/10W 5% 0603 SMD</t>
  </si>
  <si>
    <t>R12</t>
  </si>
  <si>
    <t>10R</t>
  </si>
  <si>
    <t>RES 10 OHM 1/10W 5% 0603 SMD</t>
  </si>
  <si>
    <t>R13</t>
  </si>
  <si>
    <t>EVQPNF05M</t>
  </si>
  <si>
    <t>S1, S2</t>
  </si>
  <si>
    <t>2079481</t>
  </si>
  <si>
    <t>ATSAM4S8BA-ANR</t>
  </si>
  <si>
    <t>IC MCU 32BIT 512KB FLASH 64LQFP</t>
  </si>
  <si>
    <t>U1</t>
  </si>
  <si>
    <t>Microchip</t>
  </si>
  <si>
    <t>ATSAM4S8BA-ANRCT-ND</t>
  </si>
  <si>
    <t>nRF24 SMD</t>
  </si>
  <si>
    <t>nRF24 SMD Module</t>
  </si>
  <si>
    <t>U2</t>
  </si>
  <si>
    <t>CAT6219-330TDGT3</t>
  </si>
  <si>
    <t>IC REG LIN 3.3V 500MA TSOT23-5</t>
  </si>
  <si>
    <t>U3, U4</t>
  </si>
  <si>
    <t>SN74LVC1T45</t>
  </si>
  <si>
    <t>1.8V - 5V level converter</t>
  </si>
  <si>
    <t>U5</t>
  </si>
  <si>
    <t>ADP2302ARDZ-5.0 BUCK</t>
  </si>
  <si>
    <t>IC REG BUCK 5V 2A 8SOIC</t>
  </si>
  <si>
    <t>U6</t>
  </si>
  <si>
    <t>ADP2302ARDZ-5.0-R7CT-ND</t>
  </si>
  <si>
    <t>DRV8833</t>
  </si>
  <si>
    <t>Dual H-Bridge Motor Driver 1.5A</t>
  </si>
  <si>
    <t>U7</t>
  </si>
  <si>
    <t>12MHz</t>
  </si>
  <si>
    <t>CRYSTAL 12MHZ 18PF 6X3.5mm SMD</t>
  </si>
  <si>
    <t>Y1</t>
  </si>
  <si>
    <t>CTX855CT-ND</t>
  </si>
  <si>
    <t>C5, C6, C7, C8, C9, C11, C12, 
C13, C14, C15, C17, C25</t>
  </si>
  <si>
    <t>Supplier Unit 
Price 1</t>
  </si>
  <si>
    <t>Supplier 
Subtotal 1</t>
  </si>
  <si>
    <t>Ferrite Bead, Rdc 0.3R, Z100MHZ 600R, 
Imax 1A, SMD 1206</t>
  </si>
  <si>
    <t>Panasonic 6 x 3.5mm SMD Light 
Touch Switch Type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</si>
</sst>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04494-B429-4447-98CB-5CC116BC9E7B}">
  <sheetPr>
    <pageSetUpPr fitToPage="1"/>
  </sheetPr>
  <dimension ref="A1:L44"/>
  <sheetViews>
    <sheetView tabSelected="1" zoomScale="70" zoomScaleNormal="70" workbookViewId="0">
      <selection activeCell="L44" sqref="A1:L44"/>
    </sheetView>
  </sheetViews>
  <sheetFormatPr defaultRowHeight="15" x14ac:dyDescent="0.25"/>
  <cols>
    <col min="1" max="1" width="5.28515625" bestFit="1" customWidth="1"/>
    <col min="2" max="2" width="24.140625" customWidth="1"/>
    <col min="3" max="3" width="41.140625" bestFit="1" customWidth="1"/>
    <col min="4" max="4" width="25" bestFit="1" customWidth="1"/>
    <col min="5" max="5" width="11.28515625" customWidth="1"/>
    <col min="6" max="6" width="16.5703125" customWidth="1"/>
    <col min="7" max="7" width="16.140625" customWidth="1"/>
    <col min="8" max="8" width="18.140625" bestFit="1" customWidth="1"/>
    <col min="9" max="9" width="12.42578125" customWidth="1"/>
    <col min="10" max="10" width="21.42578125" customWidth="1"/>
    <col min="11" max="11" width="12.7109375" bestFit="1" customWidth="1"/>
    <col min="12" max="12" width="9.7109375" bestFit="1" customWidth="1"/>
  </cols>
  <sheetData>
    <row r="1" spans="1:12" s="6" customFormat="1" ht="39.75" customHeight="1" x14ac:dyDescent="0.25">
      <c r="A1" s="7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5" t="s">
        <v>9</v>
      </c>
      <c r="K1" s="5" t="s">
        <v>183</v>
      </c>
      <c r="L1" s="5" t="s">
        <v>184</v>
      </c>
    </row>
    <row r="2" spans="1:12" ht="24.95" customHeight="1" x14ac:dyDescent="0.25">
      <c r="A2" s="8">
        <v>1</v>
      </c>
      <c r="B2" s="2" t="s">
        <v>11</v>
      </c>
      <c r="C2" s="2" t="s">
        <v>12</v>
      </c>
      <c r="D2" s="2" t="s">
        <v>13</v>
      </c>
      <c r="E2" s="1">
        <v>4</v>
      </c>
      <c r="F2" s="1"/>
      <c r="G2" s="1"/>
      <c r="H2" s="1"/>
      <c r="I2" s="1"/>
      <c r="J2" s="1"/>
      <c r="K2" s="1"/>
      <c r="L2" s="1"/>
    </row>
    <row r="3" spans="1:12" ht="24.95" customHeight="1" x14ac:dyDescent="0.25">
      <c r="A3" s="8">
        <f>A2+1</f>
        <v>2</v>
      </c>
      <c r="B3" s="2" t="s">
        <v>14</v>
      </c>
      <c r="C3" s="2" t="s">
        <v>15</v>
      </c>
      <c r="D3" s="2" t="s">
        <v>16</v>
      </c>
      <c r="E3" s="1">
        <v>3</v>
      </c>
      <c r="F3" s="1"/>
      <c r="G3" s="1"/>
      <c r="H3" s="1"/>
      <c r="I3" s="2" t="s">
        <v>10</v>
      </c>
      <c r="J3" s="2" t="s">
        <v>10</v>
      </c>
      <c r="K3" s="1"/>
      <c r="L3" s="1"/>
    </row>
    <row r="4" spans="1:12" ht="24.95" customHeight="1" x14ac:dyDescent="0.25">
      <c r="A4" s="8">
        <f t="shared" ref="A4:A44" si="0">A3+1</f>
        <v>3</v>
      </c>
      <c r="B4" s="2" t="s">
        <v>17</v>
      </c>
      <c r="C4" s="2" t="s">
        <v>18</v>
      </c>
      <c r="D4" s="2" t="s">
        <v>19</v>
      </c>
      <c r="E4" s="1">
        <v>2</v>
      </c>
      <c r="F4" s="1"/>
      <c r="G4" s="1"/>
      <c r="H4" s="1"/>
      <c r="I4" s="1"/>
      <c r="J4" s="1"/>
      <c r="K4" s="1"/>
      <c r="L4" s="1"/>
    </row>
    <row r="5" spans="1:12" ht="30" x14ac:dyDescent="0.25">
      <c r="A5" s="8">
        <f t="shared" si="0"/>
        <v>4</v>
      </c>
      <c r="B5" s="2" t="s">
        <v>20</v>
      </c>
      <c r="C5" s="2" t="s">
        <v>21</v>
      </c>
      <c r="D5" s="3" t="s">
        <v>182</v>
      </c>
      <c r="E5" s="1">
        <v>12</v>
      </c>
      <c r="F5" s="1"/>
      <c r="G5" s="1"/>
      <c r="H5" s="1"/>
      <c r="I5" s="1"/>
      <c r="J5" s="1"/>
      <c r="K5" s="1"/>
      <c r="L5" s="1"/>
    </row>
    <row r="6" spans="1:12" ht="24.95" customHeight="1" x14ac:dyDescent="0.25">
      <c r="A6" s="8">
        <f t="shared" si="0"/>
        <v>5</v>
      </c>
      <c r="B6" s="2" t="s">
        <v>22</v>
      </c>
      <c r="C6" s="2" t="s">
        <v>23</v>
      </c>
      <c r="D6" s="2" t="s">
        <v>24</v>
      </c>
      <c r="E6" s="1">
        <v>1</v>
      </c>
      <c r="F6" s="1"/>
      <c r="G6" s="1"/>
      <c r="H6" s="1"/>
      <c r="I6" s="2" t="s">
        <v>25</v>
      </c>
      <c r="J6" s="2" t="s">
        <v>26</v>
      </c>
      <c r="K6" s="1"/>
      <c r="L6" s="1"/>
    </row>
    <row r="7" spans="1:12" ht="24.95" customHeight="1" x14ac:dyDescent="0.25">
      <c r="A7" s="8">
        <f t="shared" si="0"/>
        <v>6</v>
      </c>
      <c r="B7" s="2" t="s">
        <v>27</v>
      </c>
      <c r="C7" s="2" t="s">
        <v>28</v>
      </c>
      <c r="D7" s="2" t="s">
        <v>29</v>
      </c>
      <c r="E7" s="1">
        <v>4</v>
      </c>
      <c r="F7" s="1"/>
      <c r="G7" s="1"/>
      <c r="H7" s="1"/>
      <c r="I7" s="1"/>
      <c r="J7" s="1"/>
      <c r="K7" s="1"/>
      <c r="L7" s="1"/>
    </row>
    <row r="8" spans="1:12" ht="24.95" customHeight="1" x14ac:dyDescent="0.25">
      <c r="A8" s="8">
        <f t="shared" si="0"/>
        <v>7</v>
      </c>
      <c r="B8" s="2" t="s">
        <v>30</v>
      </c>
      <c r="C8" s="2" t="s">
        <v>31</v>
      </c>
      <c r="D8" s="2" t="s">
        <v>32</v>
      </c>
      <c r="E8" s="1">
        <v>3</v>
      </c>
      <c r="F8" s="1"/>
      <c r="G8" s="1"/>
      <c r="H8" s="1"/>
      <c r="I8" s="1"/>
      <c r="J8" s="1"/>
      <c r="K8" s="1"/>
      <c r="L8" s="1"/>
    </row>
    <row r="9" spans="1:12" ht="24.95" customHeight="1" x14ac:dyDescent="0.25">
      <c r="A9" s="8">
        <f t="shared" si="0"/>
        <v>8</v>
      </c>
      <c r="B9" s="2" t="s">
        <v>33</v>
      </c>
      <c r="C9" s="2" t="s">
        <v>34</v>
      </c>
      <c r="D9" s="2" t="s">
        <v>35</v>
      </c>
      <c r="E9" s="1">
        <v>1</v>
      </c>
      <c r="F9" s="2"/>
      <c r="G9" s="2"/>
      <c r="H9" s="2"/>
      <c r="I9" s="2"/>
      <c r="J9" s="2"/>
      <c r="K9" s="1"/>
      <c r="L9" s="1"/>
    </row>
    <row r="10" spans="1:12" ht="24.95" customHeight="1" x14ac:dyDescent="0.25">
      <c r="A10" s="8">
        <f t="shared" si="0"/>
        <v>9</v>
      </c>
      <c r="B10" s="2" t="s">
        <v>36</v>
      </c>
      <c r="C10" s="2" t="s">
        <v>37</v>
      </c>
      <c r="D10" s="2" t="s">
        <v>38</v>
      </c>
      <c r="E10" s="1">
        <v>1</v>
      </c>
      <c r="F10" s="2"/>
      <c r="G10" s="2"/>
      <c r="H10" s="2"/>
      <c r="I10" s="2"/>
      <c r="J10" s="2"/>
      <c r="K10" s="1"/>
      <c r="L10" s="1"/>
    </row>
    <row r="11" spans="1:12" ht="24.95" customHeight="1" x14ac:dyDescent="0.25">
      <c r="A11" s="8">
        <f t="shared" si="0"/>
        <v>10</v>
      </c>
      <c r="B11" s="2" t="s">
        <v>39</v>
      </c>
      <c r="C11" s="2" t="s">
        <v>40</v>
      </c>
      <c r="D11" s="2" t="s">
        <v>41</v>
      </c>
      <c r="E11" s="1">
        <v>1</v>
      </c>
      <c r="F11" s="2" t="s">
        <v>42</v>
      </c>
      <c r="G11" s="2" t="s">
        <v>43</v>
      </c>
      <c r="H11" s="2" t="s">
        <v>44</v>
      </c>
      <c r="I11" s="2" t="s">
        <v>45</v>
      </c>
      <c r="J11" s="2" t="s">
        <v>46</v>
      </c>
      <c r="K11" s="1">
        <v>0.86</v>
      </c>
      <c r="L11" s="1">
        <v>0.86</v>
      </c>
    </row>
    <row r="12" spans="1:12" ht="24.95" customHeight="1" x14ac:dyDescent="0.25">
      <c r="A12" s="8">
        <f t="shared" si="0"/>
        <v>11</v>
      </c>
      <c r="B12" s="2" t="s">
        <v>47</v>
      </c>
      <c r="C12" s="2" t="s">
        <v>48</v>
      </c>
      <c r="D12" s="2" t="s">
        <v>49</v>
      </c>
      <c r="E12" s="1">
        <v>1</v>
      </c>
      <c r="F12" s="2" t="s">
        <v>50</v>
      </c>
      <c r="G12" s="2" t="s">
        <v>51</v>
      </c>
      <c r="H12" s="2" t="s">
        <v>44</v>
      </c>
      <c r="I12" s="2" t="s">
        <v>45</v>
      </c>
      <c r="J12" s="2" t="s">
        <v>52</v>
      </c>
      <c r="K12" s="1">
        <v>0.31</v>
      </c>
      <c r="L12" s="1">
        <v>0.31</v>
      </c>
    </row>
    <row r="13" spans="1:12" ht="24.95" customHeight="1" x14ac:dyDescent="0.25">
      <c r="A13" s="8">
        <f t="shared" si="0"/>
        <v>12</v>
      </c>
      <c r="B13" s="2" t="s">
        <v>53</v>
      </c>
      <c r="C13" s="2" t="s">
        <v>54</v>
      </c>
      <c r="D13" s="2" t="s">
        <v>55</v>
      </c>
      <c r="E13" s="1">
        <v>1</v>
      </c>
      <c r="F13" s="1" t="s">
        <v>56</v>
      </c>
      <c r="G13" s="1" t="s">
        <v>57</v>
      </c>
      <c r="H13" s="1" t="s">
        <v>44</v>
      </c>
      <c r="I13" s="2" t="s">
        <v>25</v>
      </c>
      <c r="J13" s="2" t="s">
        <v>58</v>
      </c>
      <c r="K13" s="1"/>
      <c r="L13" s="1"/>
    </row>
    <row r="14" spans="1:12" ht="24.95" customHeight="1" x14ac:dyDescent="0.25">
      <c r="A14" s="8">
        <f t="shared" si="0"/>
        <v>13</v>
      </c>
      <c r="B14" s="2" t="s">
        <v>59</v>
      </c>
      <c r="C14" s="2" t="s">
        <v>60</v>
      </c>
      <c r="D14" s="2" t="s">
        <v>61</v>
      </c>
      <c r="E14" s="1">
        <v>1</v>
      </c>
      <c r="F14" s="2" t="s">
        <v>62</v>
      </c>
      <c r="G14" s="2" t="s">
        <v>63</v>
      </c>
      <c r="H14" s="2" t="s">
        <v>64</v>
      </c>
      <c r="I14" s="2" t="s">
        <v>25</v>
      </c>
      <c r="J14" s="2" t="s">
        <v>65</v>
      </c>
      <c r="K14" s="1">
        <v>0.19087000000000001</v>
      </c>
      <c r="L14" s="1">
        <v>0.95437000000000005</v>
      </c>
    </row>
    <row r="15" spans="1:12" ht="24.95" customHeight="1" x14ac:dyDescent="0.25">
      <c r="A15" s="8">
        <f t="shared" si="0"/>
        <v>14</v>
      </c>
      <c r="B15" s="2" t="s">
        <v>66</v>
      </c>
      <c r="C15" s="2" t="s">
        <v>67</v>
      </c>
      <c r="D15" s="2" t="s">
        <v>68</v>
      </c>
      <c r="E15" s="1">
        <v>1</v>
      </c>
      <c r="F15" s="2"/>
      <c r="G15" s="2"/>
      <c r="H15" s="2"/>
      <c r="I15" s="2" t="s">
        <v>69</v>
      </c>
      <c r="J15" s="2" t="s">
        <v>70</v>
      </c>
      <c r="K15" s="1"/>
      <c r="L15" s="1"/>
    </row>
    <row r="16" spans="1:12" ht="24.95" customHeight="1" x14ac:dyDescent="0.25">
      <c r="A16" s="8">
        <f t="shared" si="0"/>
        <v>15</v>
      </c>
      <c r="B16" s="2" t="s">
        <v>71</v>
      </c>
      <c r="C16" s="3" t="s">
        <v>72</v>
      </c>
      <c r="D16" s="2" t="s">
        <v>73</v>
      </c>
      <c r="E16" s="1">
        <v>5</v>
      </c>
      <c r="F16" s="2" t="s">
        <v>74</v>
      </c>
      <c r="G16" s="2" t="s">
        <v>75</v>
      </c>
      <c r="H16" s="2" t="s">
        <v>44</v>
      </c>
      <c r="I16" s="2" t="s">
        <v>25</v>
      </c>
      <c r="J16" s="2" t="s">
        <v>76</v>
      </c>
      <c r="K16" s="1">
        <v>0.18027000000000001</v>
      </c>
      <c r="L16" s="1">
        <v>1.8</v>
      </c>
    </row>
    <row r="17" spans="1:12" ht="24.95" customHeight="1" x14ac:dyDescent="0.25">
      <c r="A17" s="8">
        <f t="shared" si="0"/>
        <v>16</v>
      </c>
      <c r="B17" s="2" t="s">
        <v>77</v>
      </c>
      <c r="C17" s="2" t="s">
        <v>78</v>
      </c>
      <c r="D17" s="2" t="s">
        <v>79</v>
      </c>
      <c r="E17" s="1">
        <v>1</v>
      </c>
      <c r="F17" s="2" t="s">
        <v>80</v>
      </c>
      <c r="G17" s="2" t="s">
        <v>81</v>
      </c>
      <c r="H17" s="2" t="s">
        <v>44</v>
      </c>
      <c r="I17" s="2" t="s">
        <v>45</v>
      </c>
      <c r="J17" s="2" t="s">
        <v>82</v>
      </c>
      <c r="K17" s="1">
        <v>0.46</v>
      </c>
      <c r="L17" s="1">
        <v>0.46</v>
      </c>
    </row>
    <row r="18" spans="1:12" x14ac:dyDescent="0.25">
      <c r="A18" s="8">
        <f t="shared" si="0"/>
        <v>17</v>
      </c>
      <c r="B18" s="2" t="s">
        <v>83</v>
      </c>
      <c r="C18" s="2" t="s">
        <v>84</v>
      </c>
      <c r="D18" s="2" t="s">
        <v>85</v>
      </c>
      <c r="E18" s="1">
        <v>1</v>
      </c>
      <c r="F18" s="2" t="s">
        <v>74</v>
      </c>
      <c r="G18" s="2" t="s">
        <v>86</v>
      </c>
      <c r="H18" s="2" t="s">
        <v>44</v>
      </c>
      <c r="I18" s="2" t="s">
        <v>45</v>
      </c>
      <c r="J18" s="2" t="s">
        <v>87</v>
      </c>
      <c r="K18" s="1">
        <v>0.88</v>
      </c>
      <c r="L18" s="1">
        <v>0.88</v>
      </c>
    </row>
    <row r="19" spans="1:12" ht="24.95" customHeight="1" x14ac:dyDescent="0.25">
      <c r="A19" s="8">
        <f t="shared" si="0"/>
        <v>18</v>
      </c>
      <c r="B19" s="2" t="s">
        <v>88</v>
      </c>
      <c r="C19" s="2" t="s">
        <v>89</v>
      </c>
      <c r="D19" s="2" t="s">
        <v>90</v>
      </c>
      <c r="E19" s="1">
        <v>1</v>
      </c>
      <c r="F19" s="2" t="s">
        <v>91</v>
      </c>
      <c r="G19" s="2" t="s">
        <v>92</v>
      </c>
      <c r="H19" s="2" t="s">
        <v>44</v>
      </c>
      <c r="I19" s="2" t="s">
        <v>25</v>
      </c>
      <c r="J19" s="2" t="s">
        <v>93</v>
      </c>
      <c r="K19" s="1">
        <v>1.83</v>
      </c>
      <c r="L19" s="1">
        <v>1.83</v>
      </c>
    </row>
    <row r="20" spans="1:12" ht="24.95" customHeight="1" x14ac:dyDescent="0.25">
      <c r="A20" s="8">
        <f t="shared" si="0"/>
        <v>19</v>
      </c>
      <c r="B20" s="2" t="s">
        <v>94</v>
      </c>
      <c r="C20" s="2" t="s">
        <v>95</v>
      </c>
      <c r="D20" s="2" t="s">
        <v>96</v>
      </c>
      <c r="E20" s="1">
        <v>1</v>
      </c>
      <c r="F20" s="2" t="s">
        <v>74</v>
      </c>
      <c r="G20" s="2" t="s">
        <v>97</v>
      </c>
      <c r="H20" s="2" t="s">
        <v>44</v>
      </c>
      <c r="I20" s="2" t="s">
        <v>25</v>
      </c>
      <c r="J20" s="2" t="s">
        <v>98</v>
      </c>
      <c r="K20" s="1">
        <v>0.36848999999999998</v>
      </c>
      <c r="L20" s="1">
        <v>3.68</v>
      </c>
    </row>
    <row r="21" spans="1:12" x14ac:dyDescent="0.25">
      <c r="A21" s="8">
        <f t="shared" si="0"/>
        <v>20</v>
      </c>
      <c r="B21" s="2" t="s">
        <v>99</v>
      </c>
      <c r="C21" s="2" t="s">
        <v>185</v>
      </c>
      <c r="D21" s="2" t="s">
        <v>100</v>
      </c>
      <c r="E21" s="1">
        <v>2</v>
      </c>
      <c r="F21" s="2" t="s">
        <v>101</v>
      </c>
      <c r="G21" s="2" t="s">
        <v>102</v>
      </c>
      <c r="H21" s="2" t="s">
        <v>44</v>
      </c>
      <c r="I21" s="2" t="s">
        <v>25</v>
      </c>
      <c r="J21" s="2" t="s">
        <v>103</v>
      </c>
      <c r="K21" s="1">
        <v>0.15773999999999999</v>
      </c>
      <c r="L21" s="1">
        <v>0.78868000000000005</v>
      </c>
    </row>
    <row r="22" spans="1:12" ht="24.95" customHeight="1" x14ac:dyDescent="0.25">
      <c r="A22" s="8">
        <f t="shared" si="0"/>
        <v>21</v>
      </c>
      <c r="B22" s="2" t="s">
        <v>104</v>
      </c>
      <c r="C22" s="2" t="s">
        <v>105</v>
      </c>
      <c r="D22" s="2" t="s">
        <v>106</v>
      </c>
      <c r="E22" s="1">
        <v>1</v>
      </c>
      <c r="F22" s="2" t="s">
        <v>107</v>
      </c>
      <c r="G22" s="2" t="s">
        <v>108</v>
      </c>
      <c r="H22" s="2" t="s">
        <v>44</v>
      </c>
      <c r="I22" s="2" t="s">
        <v>45</v>
      </c>
      <c r="J22" s="2" t="s">
        <v>109</v>
      </c>
      <c r="K22" s="1">
        <v>1.4</v>
      </c>
      <c r="L22" s="1">
        <v>1.4</v>
      </c>
    </row>
    <row r="23" spans="1:12" ht="24.95" customHeight="1" x14ac:dyDescent="0.25">
      <c r="A23" s="8">
        <f t="shared" si="0"/>
        <v>22</v>
      </c>
      <c r="B23" s="2" t="s">
        <v>110</v>
      </c>
      <c r="C23" s="2" t="s">
        <v>111</v>
      </c>
      <c r="D23" s="2" t="s">
        <v>112</v>
      </c>
      <c r="E23" s="1">
        <v>2</v>
      </c>
      <c r="F23" s="2"/>
      <c r="G23" s="2"/>
      <c r="H23" s="2"/>
      <c r="I23" s="2"/>
      <c r="J23" s="2"/>
      <c r="K23" s="1"/>
      <c r="L23" s="1"/>
    </row>
    <row r="24" spans="1:12" ht="24.95" customHeight="1" x14ac:dyDescent="0.25">
      <c r="A24" s="8">
        <f t="shared" si="0"/>
        <v>23</v>
      </c>
      <c r="B24" s="2" t="s">
        <v>113</v>
      </c>
      <c r="C24" s="2" t="s">
        <v>114</v>
      </c>
      <c r="D24" s="2" t="s">
        <v>115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ht="24.95" customHeight="1" x14ac:dyDescent="0.25">
      <c r="A25" s="8">
        <f t="shared" si="0"/>
        <v>24</v>
      </c>
      <c r="B25" s="2" t="s">
        <v>116</v>
      </c>
      <c r="C25" s="2" t="s">
        <v>117</v>
      </c>
      <c r="D25" s="2" t="s">
        <v>118</v>
      </c>
      <c r="E25" s="1">
        <v>1</v>
      </c>
      <c r="F25" s="1" t="s">
        <v>119</v>
      </c>
      <c r="G25" s="1" t="s">
        <v>116</v>
      </c>
      <c r="H25" s="1" t="s">
        <v>44</v>
      </c>
      <c r="I25" s="1" t="s">
        <v>45</v>
      </c>
      <c r="J25" s="1" t="s">
        <v>120</v>
      </c>
      <c r="K25" s="1">
        <v>0.42</v>
      </c>
      <c r="L25" s="1">
        <v>0.42</v>
      </c>
    </row>
    <row r="26" spans="1:12" ht="24.95" customHeight="1" x14ac:dyDescent="0.25">
      <c r="A26" s="8">
        <f t="shared" si="0"/>
        <v>25</v>
      </c>
      <c r="B26" s="2" t="s">
        <v>121</v>
      </c>
      <c r="C26" s="2" t="s">
        <v>122</v>
      </c>
      <c r="D26" s="2" t="s">
        <v>123</v>
      </c>
      <c r="E26" s="1">
        <v>2</v>
      </c>
      <c r="F26" s="1"/>
      <c r="G26" s="1"/>
      <c r="H26" s="1"/>
      <c r="I26" s="1"/>
      <c r="J26" s="1"/>
      <c r="K26" s="1"/>
      <c r="L26" s="1"/>
    </row>
    <row r="27" spans="1:12" ht="24.95" customHeight="1" x14ac:dyDescent="0.25">
      <c r="A27" s="8">
        <f t="shared" si="0"/>
        <v>26</v>
      </c>
      <c r="B27" s="2" t="s">
        <v>124</v>
      </c>
      <c r="C27" s="2" t="s">
        <v>125</v>
      </c>
      <c r="D27" s="2" t="s">
        <v>126</v>
      </c>
      <c r="E27" s="1">
        <v>1</v>
      </c>
      <c r="F27" s="1"/>
      <c r="G27" s="1"/>
      <c r="H27" s="1"/>
      <c r="I27" s="1"/>
      <c r="J27" s="1"/>
      <c r="K27" s="1"/>
      <c r="L27" s="1"/>
    </row>
    <row r="28" spans="1:12" ht="24.95" customHeight="1" x14ac:dyDescent="0.25">
      <c r="A28" s="8">
        <f t="shared" si="0"/>
        <v>27</v>
      </c>
      <c r="B28" s="2" t="s">
        <v>127</v>
      </c>
      <c r="C28" s="2" t="s">
        <v>128</v>
      </c>
      <c r="D28" s="2" t="s">
        <v>129</v>
      </c>
      <c r="E28" s="1">
        <v>1</v>
      </c>
      <c r="F28" s="1"/>
      <c r="G28" s="1"/>
      <c r="H28" s="1"/>
      <c r="I28" s="1"/>
      <c r="J28" s="1"/>
      <c r="K28" s="1"/>
      <c r="L28" s="1"/>
    </row>
    <row r="29" spans="1:12" ht="24.95" customHeight="1" x14ac:dyDescent="0.25">
      <c r="A29" s="8">
        <f t="shared" si="0"/>
        <v>28</v>
      </c>
      <c r="B29" s="2" t="s">
        <v>130</v>
      </c>
      <c r="C29" s="2" t="s">
        <v>131</v>
      </c>
      <c r="D29" s="2" t="s">
        <v>132</v>
      </c>
      <c r="E29" s="1">
        <v>2</v>
      </c>
      <c r="F29" s="1"/>
      <c r="G29" s="1"/>
      <c r="H29" s="1"/>
      <c r="I29" s="1"/>
      <c r="J29" s="1"/>
      <c r="K29" s="1"/>
      <c r="L29" s="1"/>
    </row>
    <row r="30" spans="1:12" ht="24.95" customHeight="1" x14ac:dyDescent="0.25">
      <c r="A30" s="8">
        <f t="shared" si="0"/>
        <v>29</v>
      </c>
      <c r="B30" s="2" t="s">
        <v>133</v>
      </c>
      <c r="C30" s="2" t="s">
        <v>134</v>
      </c>
      <c r="D30" s="2" t="s">
        <v>135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ht="24.95" customHeight="1" x14ac:dyDescent="0.25">
      <c r="A31" s="8">
        <f t="shared" si="0"/>
        <v>30</v>
      </c>
      <c r="B31" s="2" t="s">
        <v>136</v>
      </c>
      <c r="C31" s="2" t="s">
        <v>137</v>
      </c>
      <c r="D31" s="2" t="s">
        <v>138</v>
      </c>
      <c r="E31" s="1">
        <v>1</v>
      </c>
      <c r="F31" s="1"/>
      <c r="G31" s="1"/>
      <c r="H31" s="1"/>
      <c r="I31" s="1"/>
      <c r="J31" s="1"/>
      <c r="K31" s="1"/>
      <c r="L31" s="1"/>
    </row>
    <row r="32" spans="1:12" ht="24.95" customHeight="1" x14ac:dyDescent="0.25">
      <c r="A32" s="8">
        <f t="shared" si="0"/>
        <v>31</v>
      </c>
      <c r="B32" s="2" t="s">
        <v>139</v>
      </c>
      <c r="C32" s="2" t="s">
        <v>140</v>
      </c>
      <c r="D32" s="2" t="s">
        <v>141</v>
      </c>
      <c r="E32" s="1">
        <v>1</v>
      </c>
      <c r="F32" s="1"/>
      <c r="G32" s="1"/>
      <c r="H32" s="1"/>
      <c r="I32" s="1"/>
      <c r="J32" s="1"/>
      <c r="K32" s="1"/>
      <c r="L32" s="1"/>
    </row>
    <row r="33" spans="1:12" ht="24.95" customHeight="1" x14ac:dyDescent="0.25">
      <c r="A33" s="8">
        <f t="shared" si="0"/>
        <v>32</v>
      </c>
      <c r="B33" s="2" t="s">
        <v>142</v>
      </c>
      <c r="C33" s="2" t="s">
        <v>143</v>
      </c>
      <c r="D33" s="2" t="s">
        <v>144</v>
      </c>
      <c r="E33" s="1">
        <v>1</v>
      </c>
      <c r="F33" s="1"/>
      <c r="G33" s="1"/>
      <c r="H33" s="1"/>
      <c r="I33" s="1"/>
      <c r="J33" s="1"/>
      <c r="K33" s="1"/>
      <c r="L33" s="1"/>
    </row>
    <row r="34" spans="1:12" ht="24.95" customHeight="1" x14ac:dyDescent="0.25">
      <c r="A34" s="8">
        <f t="shared" si="0"/>
        <v>33</v>
      </c>
      <c r="B34" s="2" t="s">
        <v>145</v>
      </c>
      <c r="C34" s="2" t="s">
        <v>146</v>
      </c>
      <c r="D34" s="2" t="s">
        <v>147</v>
      </c>
      <c r="E34" s="1">
        <v>1</v>
      </c>
      <c r="F34" s="1"/>
      <c r="G34" s="1"/>
      <c r="H34" s="1"/>
      <c r="I34" s="1"/>
      <c r="J34" s="1"/>
      <c r="K34" s="1"/>
      <c r="L34" s="1"/>
    </row>
    <row r="35" spans="1:12" ht="24.95" customHeight="1" x14ac:dyDescent="0.25">
      <c r="A35" s="8">
        <f t="shared" si="0"/>
        <v>34</v>
      </c>
      <c r="B35" s="2" t="s">
        <v>148</v>
      </c>
      <c r="C35" s="2" t="s">
        <v>149</v>
      </c>
      <c r="D35" s="2" t="s">
        <v>150</v>
      </c>
      <c r="E35" s="1">
        <v>1</v>
      </c>
      <c r="F35" s="1"/>
      <c r="G35" s="1"/>
      <c r="H35" s="1"/>
      <c r="I35" s="1"/>
      <c r="J35" s="1"/>
      <c r="K35" s="1"/>
      <c r="L35" s="1"/>
    </row>
    <row r="36" spans="1:12" ht="24.95" customHeight="1" x14ac:dyDescent="0.25">
      <c r="A36" s="8">
        <f t="shared" si="0"/>
        <v>35</v>
      </c>
      <c r="B36" s="2" t="s">
        <v>151</v>
      </c>
      <c r="C36" s="2" t="s">
        <v>152</v>
      </c>
      <c r="D36" s="2" t="s">
        <v>153</v>
      </c>
      <c r="E36" s="1">
        <v>1</v>
      </c>
      <c r="F36" s="1"/>
      <c r="G36" s="1"/>
      <c r="H36" s="1"/>
      <c r="I36" s="2"/>
      <c r="J36" s="2"/>
      <c r="K36" s="1"/>
      <c r="L36" s="1"/>
    </row>
    <row r="37" spans="1:12" ht="24.95" customHeight="1" x14ac:dyDescent="0.25">
      <c r="A37" s="8">
        <f t="shared" si="0"/>
        <v>36</v>
      </c>
      <c r="B37" s="2" t="s">
        <v>154</v>
      </c>
      <c r="C37" s="2" t="s">
        <v>186</v>
      </c>
      <c r="D37" s="2" t="s">
        <v>155</v>
      </c>
      <c r="E37" s="1">
        <v>2</v>
      </c>
      <c r="F37" s="2"/>
      <c r="G37" s="2"/>
      <c r="H37" s="2"/>
      <c r="I37" s="2" t="s">
        <v>25</v>
      </c>
      <c r="J37" s="2" t="s">
        <v>156</v>
      </c>
      <c r="K37" s="1"/>
      <c r="L37" s="1"/>
    </row>
    <row r="38" spans="1:12" ht="24.95" customHeight="1" x14ac:dyDescent="0.25">
      <c r="A38" s="8">
        <f t="shared" si="0"/>
        <v>37</v>
      </c>
      <c r="B38" s="2" t="s">
        <v>157</v>
      </c>
      <c r="C38" s="2" t="s">
        <v>158</v>
      </c>
      <c r="D38" s="2" t="s">
        <v>159</v>
      </c>
      <c r="E38" s="1">
        <v>1</v>
      </c>
      <c r="F38" s="1" t="s">
        <v>160</v>
      </c>
      <c r="G38" s="1" t="s">
        <v>157</v>
      </c>
      <c r="H38" s="1" t="s">
        <v>44</v>
      </c>
      <c r="I38" s="1" t="s">
        <v>45</v>
      </c>
      <c r="J38" s="1" t="s">
        <v>161</v>
      </c>
      <c r="K38" s="1">
        <v>6.47</v>
      </c>
      <c r="L38" s="1">
        <v>6.47</v>
      </c>
    </row>
    <row r="39" spans="1:12" ht="24.95" customHeight="1" x14ac:dyDescent="0.25">
      <c r="A39" s="8">
        <f t="shared" si="0"/>
        <v>38</v>
      </c>
      <c r="B39" s="2" t="s">
        <v>162</v>
      </c>
      <c r="C39" s="2" t="s">
        <v>163</v>
      </c>
      <c r="D39" s="2" t="s">
        <v>164</v>
      </c>
      <c r="E39" s="1">
        <v>1</v>
      </c>
      <c r="F39" s="1"/>
      <c r="G39" s="1"/>
      <c r="H39" s="1"/>
      <c r="I39" s="2"/>
      <c r="J39" s="1"/>
      <c r="K39" s="1"/>
      <c r="L39" s="1"/>
    </row>
    <row r="40" spans="1:12" ht="24.95" customHeight="1" x14ac:dyDescent="0.25">
      <c r="A40" s="8">
        <f t="shared" si="0"/>
        <v>39</v>
      </c>
      <c r="B40" s="2" t="s">
        <v>165</v>
      </c>
      <c r="C40" s="2" t="s">
        <v>166</v>
      </c>
      <c r="D40" s="2" t="s">
        <v>167</v>
      </c>
      <c r="E40" s="1">
        <v>2</v>
      </c>
      <c r="F40" s="1"/>
      <c r="G40" s="1"/>
      <c r="H40" s="1"/>
      <c r="I40" s="1" t="s">
        <v>69</v>
      </c>
      <c r="J40" s="1"/>
      <c r="K40" s="1"/>
      <c r="L40" s="1"/>
    </row>
    <row r="41" spans="1:12" ht="24.95" customHeight="1" x14ac:dyDescent="0.25">
      <c r="A41" s="8">
        <f t="shared" si="0"/>
        <v>40</v>
      </c>
      <c r="B41" s="2" t="s">
        <v>168</v>
      </c>
      <c r="C41" s="2" t="s">
        <v>169</v>
      </c>
      <c r="D41" s="2" t="s">
        <v>170</v>
      </c>
      <c r="E41" s="1">
        <v>1</v>
      </c>
      <c r="F41" s="1"/>
      <c r="G41" s="1"/>
      <c r="H41" s="1"/>
      <c r="I41" s="2"/>
      <c r="J41" s="2"/>
      <c r="K41" s="1"/>
      <c r="L41" s="1"/>
    </row>
    <row r="42" spans="1:12" ht="24.95" customHeight="1" x14ac:dyDescent="0.25">
      <c r="A42" s="8">
        <f t="shared" si="0"/>
        <v>41</v>
      </c>
      <c r="B42" s="2" t="s">
        <v>171</v>
      </c>
      <c r="C42" s="3" t="s">
        <v>172</v>
      </c>
      <c r="D42" s="2" t="s">
        <v>173</v>
      </c>
      <c r="E42" s="1">
        <v>1</v>
      </c>
      <c r="F42" s="2"/>
      <c r="G42" s="2"/>
      <c r="H42" s="1"/>
      <c r="I42" s="1" t="s">
        <v>69</v>
      </c>
      <c r="J42" s="1" t="s">
        <v>174</v>
      </c>
      <c r="K42" s="1"/>
      <c r="L42" s="1"/>
    </row>
    <row r="43" spans="1:12" ht="24.95" customHeight="1" x14ac:dyDescent="0.25">
      <c r="A43" s="8">
        <f t="shared" si="0"/>
        <v>42</v>
      </c>
      <c r="B43" s="2" t="s">
        <v>175</v>
      </c>
      <c r="C43" s="2" t="s">
        <v>176</v>
      </c>
      <c r="D43" s="2" t="s">
        <v>177</v>
      </c>
      <c r="E43" s="1">
        <v>1</v>
      </c>
      <c r="F43" s="1"/>
      <c r="G43" s="1"/>
      <c r="H43" s="1"/>
      <c r="I43" s="2"/>
      <c r="J43" s="2"/>
      <c r="K43" s="1"/>
      <c r="L43" s="1"/>
    </row>
    <row r="44" spans="1:12" ht="24.95" customHeight="1" x14ac:dyDescent="0.25">
      <c r="A44" s="8">
        <f t="shared" si="0"/>
        <v>43</v>
      </c>
      <c r="B44" s="2" t="s">
        <v>178</v>
      </c>
      <c r="C44" s="2" t="s">
        <v>179</v>
      </c>
      <c r="D44" s="2" t="s">
        <v>180</v>
      </c>
      <c r="E44" s="1">
        <v>1</v>
      </c>
      <c r="F44" s="1"/>
      <c r="G44" s="1"/>
      <c r="H44" s="1"/>
      <c r="I44" s="2" t="s">
        <v>69</v>
      </c>
      <c r="J44" s="2" t="s">
        <v>181</v>
      </c>
      <c r="K44" s="1"/>
      <c r="L44" s="1"/>
    </row>
  </sheetData>
  <pageMargins left="0.7" right="0.7" top="0.75" bottom="0.75" header="0.3" footer="0.3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PCB_WackyRacers_excel</vt:lpstr>
      <vt:lpstr>PCB_WackyRacers_excel!Print_Titles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 Hinman</dc:creator>
  <cp:lastModifiedBy>Cade Hinman</cp:lastModifiedBy>
  <cp:lastPrinted>2026-04-12T22:56:31Z</cp:lastPrinted>
  <dcterms:created xsi:type="dcterms:W3CDTF">2026-04-12T22:49:16Z</dcterms:created>
  <dcterms:modified xsi:type="dcterms:W3CDTF">2026-04-12T23:06:14Z</dcterms:modified>
</cp:coreProperties>
</file>